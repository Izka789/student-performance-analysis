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<sst xmlns="http://schemas.openxmlformats.org/spreadsheetml/2006/main" count="33" uniqueCount="25">
  <si>
    <t>Nombre</t>
  </si>
  <si>
    <t>Curso</t>
  </si>
  <si>
    <t>Nota1</t>
  </si>
  <si>
    <t>Nota2</t>
  </si>
  <si>
    <t>Asistencia</t>
  </si>
  <si>
    <t>Promedio</t>
  </si>
  <si>
    <t>Estado</t>
  </si>
  <si>
    <t>Ana</t>
  </si>
  <si>
    <t>1A</t>
  </si>
  <si>
    <t>Juan</t>
  </si>
  <si>
    <t>Lucía</t>
  </si>
  <si>
    <t>1B</t>
  </si>
  <si>
    <t>Martín</t>
  </si>
  <si>
    <t>Sofía</t>
  </si>
  <si>
    <t>Tomás</t>
  </si>
  <si>
    <t>Carla</t>
  </si>
  <si>
    <t>Diego</t>
  </si>
  <si>
    <t>Valentina</t>
  </si>
  <si>
    <t>Pedro</t>
  </si>
  <si>
    <t>Promedio de general de asistencia</t>
  </si>
  <si>
    <t>Cantidad de alumnos aprobados</t>
  </si>
  <si>
    <t>Promedio de asistencia aprobados</t>
  </si>
  <si>
    <t>Promedio de asistencia desaprobados</t>
  </si>
  <si>
    <t>Maxima de asistencia con promedio mayor a 8</t>
  </si>
  <si>
    <t>Promedio de los promedios de alumnos con asistencia menor al promedio general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</si>
</sst>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2" xfId="0" applyBorder="1" applyFont="1" applyNumberFormat="1"/>
    <xf borderId="1" fillId="0" fontId="2" numFmtId="0" xfId="0" applyBorder="1" applyFont="1"/>
    <xf borderId="0" fillId="0" fontId="2" numFmtId="0" xfId="0" applyAlignment="1" applyFont="1">
      <alignment readingOrder="0"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3">
        <v>7.0</v>
      </c>
      <c r="D2" s="3">
        <v>8.0</v>
      </c>
      <c r="E2" s="3">
        <v>90.0</v>
      </c>
      <c r="F2" s="4">
        <f t="shared" ref="F2:F11" si="1">AVERAGE(C2,D2)</f>
        <v>7.5</v>
      </c>
      <c r="G2" s="5" t="str">
        <f t="shared" ref="G2:G11" si="2">IF(F2&gt;=6,"Aprobado","Desaprobado")</f>
        <v>Aprobado</v>
      </c>
    </row>
    <row r="3">
      <c r="A3" s="3" t="s">
        <v>9</v>
      </c>
      <c r="B3" s="3" t="s">
        <v>8</v>
      </c>
      <c r="C3" s="3">
        <v>4.0</v>
      </c>
      <c r="D3" s="3">
        <v>6.0</v>
      </c>
      <c r="E3" s="3">
        <v>75.0</v>
      </c>
      <c r="F3" s="4">
        <f t="shared" si="1"/>
        <v>5</v>
      </c>
      <c r="G3" s="5" t="str">
        <f t="shared" si="2"/>
        <v>Desaprobado</v>
      </c>
    </row>
    <row r="4">
      <c r="A4" s="3" t="s">
        <v>10</v>
      </c>
      <c r="B4" s="3" t="s">
        <v>11</v>
      </c>
      <c r="C4" s="3">
        <v>9.0</v>
      </c>
      <c r="D4" s="3">
        <v>10.0</v>
      </c>
      <c r="E4" s="3">
        <v>95.0</v>
      </c>
      <c r="F4" s="4">
        <f t="shared" si="1"/>
        <v>9.5</v>
      </c>
      <c r="G4" s="5" t="str">
        <f t="shared" si="2"/>
        <v>Aprobado</v>
      </c>
    </row>
    <row r="5">
      <c r="A5" s="3" t="s">
        <v>12</v>
      </c>
      <c r="B5" s="3" t="s">
        <v>11</v>
      </c>
      <c r="C5" s="3">
        <v>5.0</v>
      </c>
      <c r="D5" s="3">
        <v>4.0</v>
      </c>
      <c r="E5" s="3">
        <v>60.0</v>
      </c>
      <c r="F5" s="4">
        <f t="shared" si="1"/>
        <v>4.5</v>
      </c>
      <c r="G5" s="5" t="str">
        <f t="shared" si="2"/>
        <v>Desaprobado</v>
      </c>
    </row>
    <row r="6">
      <c r="A6" s="3" t="s">
        <v>13</v>
      </c>
      <c r="B6" s="3" t="s">
        <v>8</v>
      </c>
      <c r="C6" s="3">
        <v>8.0</v>
      </c>
      <c r="D6" s="3">
        <v>7.0</v>
      </c>
      <c r="E6" s="3">
        <v>85.0</v>
      </c>
      <c r="F6" s="4">
        <f t="shared" si="1"/>
        <v>7.5</v>
      </c>
      <c r="G6" s="5" t="str">
        <f t="shared" si="2"/>
        <v>Aprobado</v>
      </c>
    </row>
    <row r="7">
      <c r="A7" s="3" t="s">
        <v>14</v>
      </c>
      <c r="B7" s="3" t="s">
        <v>11</v>
      </c>
      <c r="C7" s="3">
        <v>6.0</v>
      </c>
      <c r="D7" s="3">
        <v>6.0</v>
      </c>
      <c r="E7" s="3">
        <v>80.0</v>
      </c>
      <c r="F7" s="4">
        <f t="shared" si="1"/>
        <v>6</v>
      </c>
      <c r="G7" s="5" t="str">
        <f t="shared" si="2"/>
        <v>Aprobado</v>
      </c>
    </row>
    <row r="8">
      <c r="A8" s="3" t="s">
        <v>15</v>
      </c>
      <c r="B8" s="3" t="s">
        <v>8</v>
      </c>
      <c r="C8" s="3">
        <v>3.0</v>
      </c>
      <c r="D8" s="3">
        <v>5.0</v>
      </c>
      <c r="E8" s="3">
        <v>70.0</v>
      </c>
      <c r="F8" s="4">
        <f t="shared" si="1"/>
        <v>4</v>
      </c>
      <c r="G8" s="5" t="str">
        <f t="shared" si="2"/>
        <v>Desaprobado</v>
      </c>
    </row>
    <row r="9">
      <c r="A9" s="3" t="s">
        <v>16</v>
      </c>
      <c r="B9" s="3" t="s">
        <v>11</v>
      </c>
      <c r="C9" s="3">
        <v>10.0</v>
      </c>
      <c r="D9" s="3">
        <v>9.0</v>
      </c>
      <c r="E9" s="3">
        <v>100.0</v>
      </c>
      <c r="F9" s="4">
        <f t="shared" si="1"/>
        <v>9.5</v>
      </c>
      <c r="G9" s="5" t="str">
        <f t="shared" si="2"/>
        <v>Aprobado</v>
      </c>
    </row>
    <row r="10">
      <c r="A10" s="3" t="s">
        <v>17</v>
      </c>
      <c r="B10" s="3" t="s">
        <v>8</v>
      </c>
      <c r="C10" s="3">
        <v>2.0</v>
      </c>
      <c r="D10" s="3">
        <v>4.0</v>
      </c>
      <c r="E10" s="3">
        <v>65.0</v>
      </c>
      <c r="F10" s="4">
        <f t="shared" si="1"/>
        <v>3</v>
      </c>
      <c r="G10" s="5" t="str">
        <f t="shared" si="2"/>
        <v>Desaprobado</v>
      </c>
    </row>
    <row r="11">
      <c r="A11" s="3" t="s">
        <v>18</v>
      </c>
      <c r="B11" s="3" t="s">
        <v>11</v>
      </c>
      <c r="C11" s="3">
        <v>7.0</v>
      </c>
      <c r="D11" s="3">
        <v>8.0</v>
      </c>
      <c r="E11" s="3">
        <v>88.0</v>
      </c>
      <c r="F11" s="4">
        <f t="shared" si="1"/>
        <v>7.5</v>
      </c>
      <c r="G11" s="5" t="str">
        <f t="shared" si="2"/>
        <v>Aprobado</v>
      </c>
    </row>
    <row r="13">
      <c r="D13" s="6" t="s">
        <v>19</v>
      </c>
      <c r="F13" s="7">
        <f>AVERAGE(E2:E11)</f>
        <v>80.8</v>
      </c>
    </row>
    <row r="14">
      <c r="D14" s="6" t="s">
        <v>20</v>
      </c>
      <c r="F14" s="7">
        <f>COUNTIF(G2:G11,"APROBADO")</f>
        <v>6</v>
      </c>
    </row>
    <row r="15">
      <c r="D15" s="6" t="s">
        <v>21</v>
      </c>
      <c r="F15" s="7">
        <f>AVERAGEIF(G2:G11,"Aprobado",E2:E11)</f>
        <v>89.66666667</v>
      </c>
    </row>
    <row r="16">
      <c r="D16" s="6" t="s">
        <v>22</v>
      </c>
      <c r="F16" s="7">
        <f>AVERAGEIF(G2:G11,"Desaprobado",E2:E11)</f>
        <v>67.5</v>
      </c>
    </row>
    <row r="17">
      <c r="D17" s="6" t="s">
        <v>23</v>
      </c>
      <c r="F17" s="7">
        <f>MAXIFS(E2:E11,F2:F11,"&gt;8")</f>
        <v>100</v>
      </c>
    </row>
    <row r="18">
      <c r="D18" s="6" t="s">
        <v>24</v>
      </c>
      <c r="F18" s="7">
        <f>AVERAGEIFS(F2:F11,E2:E11,"&lt;"&amp;AVERAGE(E2:E11))</f>
        <v>4.5</v>
      </c>
    </row>
  </sheetData>
  <drawing r:id="rId1"/>
</worksheet>
</file>